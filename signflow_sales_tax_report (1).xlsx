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lly\Documents\GitHub\Signflow\"/>
    </mc:Choice>
  </mc:AlternateContent>
  <xr:revisionPtr revIDLastSave="0" documentId="8_{3389C14C-1495-4E73-B427-513B0D429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Detail — All Taxable Orders" sheetId="2" r:id="rId2"/>
    <sheet name="By Ag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2" l="1"/>
  <c r="K64" i="2"/>
  <c r="J64" i="2"/>
  <c r="I64" i="2"/>
  <c r="H64" i="2"/>
  <c r="G64" i="2"/>
  <c r="F64" i="2"/>
</calcChain>
</file>

<file path=xl/sharedStrings.xml><?xml version="1.0" encoding="utf-8"?>
<sst xmlns="http://schemas.openxmlformats.org/spreadsheetml/2006/main" count="353" uniqueCount="90">
  <si>
    <t>Sign Up Sign Services Inc — Monthly Sales Tax Report</t>
  </si>
  <si>
    <t>Reporting Period: April 2026     |     AZ TPT Rate: 8.7%     |     Generated: 04/30/2026</t>
  </si>
  <si>
    <t>Office</t>
  </si>
  <si>
    <t># Installs</t>
  </si>
  <si>
    <t>Gross Install Charges</t>
  </si>
  <si>
    <t>Taxable Amount</t>
  </si>
  <si>
    <t>Tax Due (8.7%)</t>
  </si>
  <si>
    <t>Coldwell Banker Realty</t>
  </si>
  <si>
    <t>Independent agents</t>
  </si>
  <si>
    <t>KW Tucson NW</t>
  </si>
  <si>
    <t>Long Realty Foothills</t>
  </si>
  <si>
    <t>Long Realty Gold Canyon</t>
  </si>
  <si>
    <t>RE/MAX Excalibur</t>
  </si>
  <si>
    <t>Realty Executives AZ</t>
  </si>
  <si>
    <t>Tierra Antigua Realty</t>
  </si>
  <si>
    <t>TOTAL</t>
  </si>
  <si>
    <t>TOTAL AZ TPT DUE THIS PERIOD:</t>
  </si>
  <si>
    <t>Note: Only installation charges are subject to AZ TPT at 8.7%. Removals ($0), accessories, and service calls are excluded.</t>
  </si>
  <si>
    <t>Sign Up Sign Services Inc — Taxable Installs Detail — April 2026</t>
  </si>
  <si>
    <t>Date</t>
  </si>
  <si>
    <t>Agent</t>
  </si>
  <si>
    <t>Address</t>
  </si>
  <si>
    <t>Order Type</t>
  </si>
  <si>
    <t>Post Type</t>
  </si>
  <si>
    <t>Post Charge
(Taxable)</t>
  </si>
  <si>
    <t>Zone Fee
(Non-taxable)</t>
  </si>
  <si>
    <t>Photo Fee
(Non-taxable)</t>
  </si>
  <si>
    <t>Accessories
(Non-taxable)</t>
  </si>
  <si>
    <t>Total Billed</t>
  </si>
  <si>
    <t>Tax (8.7%)</t>
  </si>
  <si>
    <t>04/02/2026</t>
  </si>
  <si>
    <t>Angela Tennison</t>
  </si>
  <si>
    <t>600 S Wilmot Rd, Tucson AZ</t>
  </si>
  <si>
    <t>Installation</t>
  </si>
  <si>
    <t>White Post</t>
  </si>
  <si>
    <t>8800 E 22nd St, Tucson AZ</t>
  </si>
  <si>
    <t>04/03/2026</t>
  </si>
  <si>
    <t>Dana Hill</t>
  </si>
  <si>
    <t>3600 W Irvington Rd, Tucson AZ</t>
  </si>
  <si>
    <t>Black Post</t>
  </si>
  <si>
    <t>Mike Torres</t>
  </si>
  <si>
    <t>1800 N Stone Ave, Tucson AZ</t>
  </si>
  <si>
    <t>Stacy Kelley</t>
  </si>
  <si>
    <t>Carolee Hein</t>
  </si>
  <si>
    <t>H-Post</t>
  </si>
  <si>
    <t>04/04/2026</t>
  </si>
  <si>
    <t>220 W Magee Rd, Tucson AZ</t>
  </si>
  <si>
    <t>Red Post</t>
  </si>
  <si>
    <t>Steve Schultz</t>
  </si>
  <si>
    <t>1550 S Kolb Rd, Tucson AZ</t>
  </si>
  <si>
    <t>04/05/2026</t>
  </si>
  <si>
    <t>3300 N Campbell Ave, Tucson AZ</t>
  </si>
  <si>
    <t>No Post — Gate/Wall</t>
  </si>
  <si>
    <t>5500 E Speedway Blvd, Tucson AZ</t>
  </si>
  <si>
    <t>Julia Kim</t>
  </si>
  <si>
    <t>Teal Post</t>
  </si>
  <si>
    <t>04/07/2026</t>
  </si>
  <si>
    <t>04/08/2026</t>
  </si>
  <si>
    <t>7000 N La Cholla Blvd, Tucson AZ</t>
  </si>
  <si>
    <t>Sarah Johnson</t>
  </si>
  <si>
    <t>4821 E Sunrise Dr, Tucson AZ</t>
  </si>
  <si>
    <t>2200 E Fort Lowell Rd, Tucson AZ</t>
  </si>
  <si>
    <t>04/09/2026</t>
  </si>
  <si>
    <t>04/10/2026</t>
  </si>
  <si>
    <t>4100 S 6th Ave, Tucson AZ</t>
  </si>
  <si>
    <t>04/13/2026</t>
  </si>
  <si>
    <t>Rex Morgan</t>
  </si>
  <si>
    <t>9901 E Broadway Blvd, Tucson AZ</t>
  </si>
  <si>
    <t>7703 N Oracle Rd, Tucson AZ</t>
  </si>
  <si>
    <t>Bev Stone</t>
  </si>
  <si>
    <t>Mark Burns</t>
  </si>
  <si>
    <t>9200 E Tanque Verde Rd, Tucson AZ</t>
  </si>
  <si>
    <t>04/15/2026</t>
  </si>
  <si>
    <t>Layne Lundeen</t>
  </si>
  <si>
    <t>04/16/2026</t>
  </si>
  <si>
    <t>04/17/2026</t>
  </si>
  <si>
    <t>04/18/2026</t>
  </si>
  <si>
    <t>Linda Park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</si>
  <si>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</si>
  <si>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</si>
  <si>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</si>
  <si>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</si>
  <si>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</si>
  <si>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</si>
  <si>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</si>
  <si>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</si>
  <si>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</si>
  <si>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Note: Only the Post Charge column is subject to AZ TPT at 8.7%. Zone fees, photo fees, and accessories are excluded from taxable amount.</t>
  </si>
  <si>
    <t>Sign Up Sign Services Inc — Taxable Installs by Agent — April 2026</t>
  </si>
  <si>
    <t>Install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</si>
</sst>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4"/>
      <color rgb="FF1F497D"/>
      <name val="Arial"/>
    </font>
    <font>
      <sz val="10"/>
      <color rgb="FF40404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2"/>
      <color rgb="FF375623"/>
      <name val="Arial"/>
    </font>
    <font>
      <i/>
      <sz val="9"/>
      <color rgb="FF888888"/>
      <name val="Arial"/>
    </font>
    <font>
      <b/>
      <sz val="13"/>
      <color rgb="FF1F497D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375623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selection sqref="A1:H1"/>
    </sheetView>
  </sheetViews>
  <sheetFormatPr defaultRowHeight="14.4" x14ac:dyDescent="0.3"/>
  <cols>
    <col min="1" max="1" width="32" customWidth="1"/>
    <col min="2" max="2" width="12" customWidth="1"/>
    <col min="3" max="4" width="24" customWidth="1"/>
    <col min="5" max="5" width="20" customWidth="1"/>
  </cols>
  <sheetData>
    <row r="1" spans="1:8" ht="22.05" customHeight="1" x14ac:dyDescent="0.3">
      <c r="A1" s="18" t="s">
        <v>0</v>
      </c>
      <c r="B1" s="16"/>
      <c r="C1" s="16"/>
      <c r="D1" s="16"/>
      <c r="E1" s="16"/>
      <c r="F1" s="16"/>
      <c r="G1" s="16"/>
      <c r="H1" s="16"/>
    </row>
    <row r="2" spans="1:8" ht="16.05" customHeight="1" x14ac:dyDescent="0.3">
      <c r="A2" s="15" t="s">
        <v>1</v>
      </c>
      <c r="B2" s="16"/>
      <c r="C2" s="16"/>
      <c r="D2" s="16"/>
      <c r="E2" s="16"/>
      <c r="F2" s="16"/>
      <c r="G2" s="16"/>
      <c r="H2" s="16"/>
    </row>
    <row r="3" spans="1:8" ht="7.95" customHeight="1" x14ac:dyDescent="0.3"/>
    <row r="4" spans="1:8" ht="18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x14ac:dyDescent="0.3">
      <c r="A5" s="2" t="s">
        <v>7</v>
      </c>
      <c r="B5" s="3">
        <v>9</v>
      </c>
      <c r="C5" s="4">
        <v>444</v>
      </c>
      <c r="D5" s="4">
        <v>444</v>
      </c>
      <c r="E5" s="4">
        <v>38.6</v>
      </c>
    </row>
    <row r="6" spans="1:8" x14ac:dyDescent="0.3">
      <c r="A6" s="5" t="s">
        <v>8</v>
      </c>
      <c r="B6" s="6">
        <v>6</v>
      </c>
      <c r="C6" s="7">
        <v>283</v>
      </c>
      <c r="D6" s="7">
        <v>283</v>
      </c>
      <c r="E6" s="7">
        <v>24.62</v>
      </c>
    </row>
    <row r="7" spans="1:8" x14ac:dyDescent="0.3">
      <c r="A7" s="2" t="s">
        <v>9</v>
      </c>
      <c r="B7" s="3">
        <v>8</v>
      </c>
      <c r="C7" s="4">
        <v>421</v>
      </c>
      <c r="D7" s="4">
        <v>421</v>
      </c>
      <c r="E7" s="4">
        <v>36.6</v>
      </c>
    </row>
    <row r="8" spans="1:8" x14ac:dyDescent="0.3">
      <c r="A8" s="5" t="s">
        <v>10</v>
      </c>
      <c r="B8" s="6">
        <v>16</v>
      </c>
      <c r="C8" s="7">
        <v>729</v>
      </c>
      <c r="D8" s="7">
        <v>729</v>
      </c>
      <c r="E8" s="7">
        <v>63.39</v>
      </c>
    </row>
    <row r="9" spans="1:8" x14ac:dyDescent="0.3">
      <c r="A9" s="2" t="s">
        <v>11</v>
      </c>
      <c r="B9" s="3">
        <v>2</v>
      </c>
      <c r="C9" s="4">
        <v>93</v>
      </c>
      <c r="D9" s="4">
        <v>93</v>
      </c>
      <c r="E9" s="4">
        <v>8.09</v>
      </c>
    </row>
    <row r="10" spans="1:8" x14ac:dyDescent="0.3">
      <c r="A10" s="5" t="s">
        <v>12</v>
      </c>
      <c r="B10" s="6">
        <v>9</v>
      </c>
      <c r="C10" s="7">
        <v>483</v>
      </c>
      <c r="D10" s="7">
        <v>483</v>
      </c>
      <c r="E10" s="7">
        <v>41.989999999999988</v>
      </c>
    </row>
    <row r="11" spans="1:8" x14ac:dyDescent="0.3">
      <c r="A11" s="2" t="s">
        <v>13</v>
      </c>
      <c r="B11" s="3">
        <v>5</v>
      </c>
      <c r="C11" s="4">
        <v>263</v>
      </c>
      <c r="D11" s="4">
        <v>263</v>
      </c>
      <c r="E11" s="4">
        <v>22.87</v>
      </c>
    </row>
    <row r="12" spans="1:8" x14ac:dyDescent="0.3">
      <c r="A12" s="5" t="s">
        <v>14</v>
      </c>
      <c r="B12" s="6">
        <v>5</v>
      </c>
      <c r="C12" s="7">
        <v>211</v>
      </c>
      <c r="D12" s="7">
        <v>211</v>
      </c>
      <c r="E12" s="7">
        <v>18.36</v>
      </c>
    </row>
    <row r="13" spans="1:8" x14ac:dyDescent="0.3">
      <c r="A13" s="8" t="s">
        <v>15</v>
      </c>
      <c r="B13" s="9">
        <v>60</v>
      </c>
      <c r="C13" s="10">
        <v>2927</v>
      </c>
      <c r="D13" s="10">
        <v>2927</v>
      </c>
      <c r="E13" s="10">
        <v>254.52</v>
      </c>
    </row>
    <row r="15" spans="1:8" ht="22.05" customHeight="1" x14ac:dyDescent="0.3">
      <c r="A15" s="17" t="s">
        <v>16</v>
      </c>
      <c r="B15" s="16"/>
      <c r="C15" s="11">
        <v>254.52</v>
      </c>
    </row>
    <row r="17" spans="1:1" x14ac:dyDescent="0.3">
      <c r="A17" s="12" t="s">
        <v>17</v>
      </c>
    </row>
  </sheetData>
  <mergeCells count="3">
    <mergeCell ref="A2:H2"/>
    <mergeCell ref="A15:B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showGridLines="0" workbookViewId="0"/>
  </sheetViews>
  <sheetFormatPr defaultRowHeight="14.4" x14ac:dyDescent="0.3"/>
  <cols>
    <col min="1" max="1" width="12" customWidth="1"/>
    <col min="2" max="2" width="22" customWidth="1"/>
    <col min="3" max="3" width="34" customWidth="1"/>
    <col min="4" max="4" width="14" customWidth="1"/>
    <col min="5" max="5" width="20" customWidth="1"/>
    <col min="6" max="9" width="16" customWidth="1"/>
    <col min="10" max="10" width="14" customWidth="1"/>
    <col min="11" max="11" width="16" customWidth="1"/>
    <col min="12" max="12" width="12" customWidth="1"/>
  </cols>
  <sheetData>
    <row r="1" spans="1:12" ht="19.95" customHeight="1" x14ac:dyDescent="0.3">
      <c r="A1" s="20" t="s">
        <v>18</v>
      </c>
      <c r="B1" s="16"/>
      <c r="C1" s="16"/>
      <c r="D1" s="16"/>
      <c r="E1" s="16"/>
      <c r="F1" s="16"/>
      <c r="G1" s="16"/>
      <c r="H1" s="16"/>
      <c r="I1" s="16"/>
      <c r="J1" s="16"/>
    </row>
    <row r="2" spans="1:12" ht="7.95" customHeight="1" x14ac:dyDescent="0.3"/>
    <row r="3" spans="1:12" ht="18" customHeigh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5</v>
      </c>
      <c r="L3" s="1" t="s">
        <v>29</v>
      </c>
    </row>
    <row r="4" spans="1:12" ht="15" customHeight="1" x14ac:dyDescent="0.3">
      <c r="A4" s="13" t="s">
        <v>30</v>
      </c>
      <c r="B4" s="2" t="s">
        <v>31</v>
      </c>
      <c r="C4" s="2" t="s">
        <v>32</v>
      </c>
      <c r="D4" s="13" t="s">
        <v>33</v>
      </c>
      <c r="E4" s="2" t="s">
        <v>34</v>
      </c>
      <c r="F4" s="4">
        <v>42</v>
      </c>
      <c r="G4" s="4">
        <v>0</v>
      </c>
      <c r="H4" s="4">
        <v>0</v>
      </c>
      <c r="I4" s="4">
        <v>0</v>
      </c>
      <c r="J4" s="4">
        <v>42</v>
      </c>
      <c r="K4" s="4">
        <v>42</v>
      </c>
      <c r="L4" s="4">
        <v>3.65</v>
      </c>
    </row>
    <row r="5" spans="1:12" ht="15" customHeight="1" x14ac:dyDescent="0.3">
      <c r="A5" s="14" t="s">
        <v>30</v>
      </c>
      <c r="B5" s="5" t="s">
        <v>31</v>
      </c>
      <c r="C5" s="5" t="s">
        <v>35</v>
      </c>
      <c r="D5" s="14" t="s">
        <v>33</v>
      </c>
      <c r="E5" s="5" t="s">
        <v>34</v>
      </c>
      <c r="F5" s="7">
        <v>42</v>
      </c>
      <c r="G5" s="7">
        <v>10</v>
      </c>
      <c r="H5" s="7">
        <v>0</v>
      </c>
      <c r="I5" s="7">
        <v>25.8</v>
      </c>
      <c r="J5" s="7">
        <v>77.8</v>
      </c>
      <c r="K5" s="7">
        <v>42</v>
      </c>
      <c r="L5" s="7">
        <v>3.65</v>
      </c>
    </row>
    <row r="6" spans="1:12" ht="15" customHeight="1" x14ac:dyDescent="0.3">
      <c r="A6" s="13" t="s">
        <v>36</v>
      </c>
      <c r="B6" s="2" t="s">
        <v>37</v>
      </c>
      <c r="C6" s="2" t="s">
        <v>38</v>
      </c>
      <c r="D6" s="13" t="s">
        <v>33</v>
      </c>
      <c r="E6" s="2" t="s">
        <v>39</v>
      </c>
      <c r="F6" s="4">
        <v>49</v>
      </c>
      <c r="G6" s="4">
        <v>10</v>
      </c>
      <c r="H6" s="4">
        <v>3</v>
      </c>
      <c r="I6" s="4">
        <v>0</v>
      </c>
      <c r="J6" s="4">
        <v>62</v>
      </c>
      <c r="K6" s="4">
        <v>49</v>
      </c>
      <c r="L6" s="4">
        <v>4.26</v>
      </c>
    </row>
    <row r="7" spans="1:12" ht="15" customHeight="1" x14ac:dyDescent="0.3">
      <c r="A7" s="14" t="s">
        <v>36</v>
      </c>
      <c r="B7" s="5" t="s">
        <v>40</v>
      </c>
      <c r="C7" s="5" t="s">
        <v>41</v>
      </c>
      <c r="D7" s="14" t="s">
        <v>33</v>
      </c>
      <c r="E7" s="5" t="s">
        <v>34</v>
      </c>
      <c r="F7" s="7">
        <v>42</v>
      </c>
      <c r="G7" s="7">
        <v>15</v>
      </c>
      <c r="H7" s="7">
        <v>0</v>
      </c>
      <c r="I7" s="7">
        <v>0</v>
      </c>
      <c r="J7" s="7">
        <v>57</v>
      </c>
      <c r="K7" s="7">
        <v>42</v>
      </c>
      <c r="L7" s="7">
        <v>3.65</v>
      </c>
    </row>
    <row r="8" spans="1:12" ht="15" customHeight="1" x14ac:dyDescent="0.3">
      <c r="A8" s="13" t="s">
        <v>36</v>
      </c>
      <c r="B8" s="2" t="s">
        <v>42</v>
      </c>
      <c r="C8" s="2" t="s">
        <v>35</v>
      </c>
      <c r="D8" s="13" t="s">
        <v>33</v>
      </c>
      <c r="E8" s="2" t="s">
        <v>34</v>
      </c>
      <c r="F8" s="4">
        <v>42</v>
      </c>
      <c r="G8" s="4">
        <v>10</v>
      </c>
      <c r="H8" s="4">
        <v>0</v>
      </c>
      <c r="I8" s="4">
        <v>17.2</v>
      </c>
      <c r="J8" s="4">
        <v>69.2</v>
      </c>
      <c r="K8" s="4">
        <v>42</v>
      </c>
      <c r="L8" s="4">
        <v>3.65</v>
      </c>
    </row>
    <row r="9" spans="1:12" ht="15" customHeight="1" x14ac:dyDescent="0.3">
      <c r="A9" s="14" t="s">
        <v>36</v>
      </c>
      <c r="B9" s="5" t="s">
        <v>43</v>
      </c>
      <c r="C9" s="5" t="s">
        <v>41</v>
      </c>
      <c r="D9" s="14" t="s">
        <v>33</v>
      </c>
      <c r="E9" s="5" t="s">
        <v>44</v>
      </c>
      <c r="F9" s="7">
        <v>55</v>
      </c>
      <c r="G9" s="7">
        <v>0</v>
      </c>
      <c r="H9" s="7">
        <v>0</v>
      </c>
      <c r="I9" s="7">
        <v>8.6</v>
      </c>
      <c r="J9" s="7">
        <v>63.6</v>
      </c>
      <c r="K9" s="7">
        <v>55</v>
      </c>
      <c r="L9" s="7">
        <v>4.78</v>
      </c>
    </row>
    <row r="10" spans="1:12" ht="15" customHeight="1" x14ac:dyDescent="0.3">
      <c r="A10" s="13" t="s">
        <v>45</v>
      </c>
      <c r="B10" s="2" t="s">
        <v>37</v>
      </c>
      <c r="C10" s="2" t="s">
        <v>46</v>
      </c>
      <c r="D10" s="13" t="s">
        <v>33</v>
      </c>
      <c r="E10" s="2" t="s">
        <v>47</v>
      </c>
      <c r="F10" s="4">
        <v>55</v>
      </c>
      <c r="G10" s="4">
        <v>0</v>
      </c>
      <c r="H10" s="4">
        <v>0</v>
      </c>
      <c r="I10" s="4">
        <v>0</v>
      </c>
      <c r="J10" s="4">
        <v>55</v>
      </c>
      <c r="K10" s="4">
        <v>55</v>
      </c>
      <c r="L10" s="4">
        <v>4.78</v>
      </c>
    </row>
    <row r="11" spans="1:12" ht="15" customHeight="1" x14ac:dyDescent="0.3">
      <c r="A11" s="14" t="s">
        <v>45</v>
      </c>
      <c r="B11" s="5" t="s">
        <v>48</v>
      </c>
      <c r="C11" s="5" t="s">
        <v>49</v>
      </c>
      <c r="D11" s="14" t="s">
        <v>33</v>
      </c>
      <c r="E11" s="5" t="s">
        <v>47</v>
      </c>
      <c r="F11" s="7">
        <v>55</v>
      </c>
      <c r="G11" s="7">
        <v>10</v>
      </c>
      <c r="H11" s="7">
        <v>3</v>
      </c>
      <c r="I11" s="7">
        <v>17.2</v>
      </c>
      <c r="J11" s="7">
        <v>85.2</v>
      </c>
      <c r="K11" s="7">
        <v>55</v>
      </c>
      <c r="L11" s="7">
        <v>4.78</v>
      </c>
    </row>
    <row r="12" spans="1:12" ht="15" customHeight="1" x14ac:dyDescent="0.3">
      <c r="A12" s="13" t="s">
        <v>45</v>
      </c>
      <c r="B12" s="2" t="s">
        <v>40</v>
      </c>
      <c r="C12" s="2" t="s">
        <v>41</v>
      </c>
      <c r="D12" s="13" t="s">
        <v>33</v>
      </c>
      <c r="E12" s="2" t="s">
        <v>47</v>
      </c>
      <c r="F12" s="4">
        <v>55</v>
      </c>
      <c r="G12" s="4">
        <v>0</v>
      </c>
      <c r="H12" s="4">
        <v>0</v>
      </c>
      <c r="I12" s="4">
        <v>0</v>
      </c>
      <c r="J12" s="4">
        <v>55</v>
      </c>
      <c r="K12" s="4">
        <v>55</v>
      </c>
      <c r="L12" s="4">
        <v>4.78</v>
      </c>
    </row>
    <row r="13" spans="1:12" ht="15" customHeight="1" x14ac:dyDescent="0.3">
      <c r="A13" s="14" t="s">
        <v>50</v>
      </c>
      <c r="B13" s="5" t="s">
        <v>42</v>
      </c>
      <c r="C13" s="5" t="s">
        <v>51</v>
      </c>
      <c r="D13" s="14" t="s">
        <v>33</v>
      </c>
      <c r="E13" s="5" t="s">
        <v>52</v>
      </c>
      <c r="F13" s="7">
        <v>38</v>
      </c>
      <c r="G13" s="7">
        <v>20</v>
      </c>
      <c r="H13" s="7">
        <v>0</v>
      </c>
      <c r="I13" s="7">
        <v>8.6</v>
      </c>
      <c r="J13" s="7">
        <v>66.599999999999994</v>
      </c>
      <c r="K13" s="7">
        <v>38</v>
      </c>
      <c r="L13" s="7">
        <v>3.31</v>
      </c>
    </row>
    <row r="14" spans="1:12" ht="15" customHeight="1" x14ac:dyDescent="0.3">
      <c r="A14" s="13" t="s">
        <v>50</v>
      </c>
      <c r="B14" s="2" t="s">
        <v>42</v>
      </c>
      <c r="C14" s="2" t="s">
        <v>53</v>
      </c>
      <c r="D14" s="13" t="s">
        <v>33</v>
      </c>
      <c r="E14" s="2" t="s">
        <v>39</v>
      </c>
      <c r="F14" s="4">
        <v>49</v>
      </c>
      <c r="G14" s="4">
        <v>0</v>
      </c>
      <c r="H14" s="4">
        <v>3</v>
      </c>
      <c r="I14" s="4">
        <v>0</v>
      </c>
      <c r="J14" s="4">
        <v>52</v>
      </c>
      <c r="K14" s="4">
        <v>49</v>
      </c>
      <c r="L14" s="4">
        <v>4.26</v>
      </c>
    </row>
    <row r="15" spans="1:12" ht="15" customHeight="1" x14ac:dyDescent="0.3">
      <c r="A15" s="14" t="s">
        <v>50</v>
      </c>
      <c r="B15" s="5" t="s">
        <v>54</v>
      </c>
      <c r="C15" s="5" t="s">
        <v>49</v>
      </c>
      <c r="D15" s="14" t="s">
        <v>33</v>
      </c>
      <c r="E15" s="5" t="s">
        <v>55</v>
      </c>
      <c r="F15" s="7">
        <v>68</v>
      </c>
      <c r="G15" s="7">
        <v>10</v>
      </c>
      <c r="H15" s="7">
        <v>3</v>
      </c>
      <c r="I15" s="7">
        <v>8.6</v>
      </c>
      <c r="J15" s="7">
        <v>89.6</v>
      </c>
      <c r="K15" s="7">
        <v>68</v>
      </c>
      <c r="L15" s="7">
        <v>5.92</v>
      </c>
    </row>
    <row r="16" spans="1:12" ht="15" customHeight="1" x14ac:dyDescent="0.3">
      <c r="A16" s="13" t="s">
        <v>56</v>
      </c>
      <c r="B16" s="2" t="s">
        <v>31</v>
      </c>
      <c r="C16" s="2" t="s">
        <v>41</v>
      </c>
      <c r="D16" s="13" t="s">
        <v>33</v>
      </c>
      <c r="E16" s="2" t="s">
        <v>47</v>
      </c>
      <c r="F16" s="4">
        <v>55</v>
      </c>
      <c r="G16" s="4">
        <v>0</v>
      </c>
      <c r="H16" s="4">
        <v>0</v>
      </c>
      <c r="I16" s="4">
        <v>17.2</v>
      </c>
      <c r="J16" s="4">
        <v>72.2</v>
      </c>
      <c r="K16" s="4">
        <v>55</v>
      </c>
      <c r="L16" s="4">
        <v>4.78</v>
      </c>
    </row>
    <row r="17" spans="1:12" ht="15" customHeight="1" x14ac:dyDescent="0.3">
      <c r="A17" s="14" t="s">
        <v>57</v>
      </c>
      <c r="B17" s="5" t="s">
        <v>48</v>
      </c>
      <c r="C17" s="5" t="s">
        <v>49</v>
      </c>
      <c r="D17" s="14" t="s">
        <v>33</v>
      </c>
      <c r="E17" s="5" t="s">
        <v>34</v>
      </c>
      <c r="F17" s="7">
        <v>42</v>
      </c>
      <c r="G17" s="7">
        <v>15</v>
      </c>
      <c r="H17" s="7">
        <v>0</v>
      </c>
      <c r="I17" s="7">
        <v>0</v>
      </c>
      <c r="J17" s="7">
        <v>57</v>
      </c>
      <c r="K17" s="7">
        <v>42</v>
      </c>
      <c r="L17" s="7">
        <v>3.65</v>
      </c>
    </row>
    <row r="18" spans="1:12" ht="15" customHeight="1" x14ac:dyDescent="0.3">
      <c r="A18" s="13" t="s">
        <v>57</v>
      </c>
      <c r="B18" s="2" t="s">
        <v>48</v>
      </c>
      <c r="C18" s="2" t="s">
        <v>58</v>
      </c>
      <c r="D18" s="13" t="s">
        <v>33</v>
      </c>
      <c r="E18" s="2" t="s">
        <v>55</v>
      </c>
      <c r="F18" s="4">
        <v>68</v>
      </c>
      <c r="G18" s="4">
        <v>0</v>
      </c>
      <c r="H18" s="4">
        <v>0</v>
      </c>
      <c r="I18" s="4">
        <v>0</v>
      </c>
      <c r="J18" s="4">
        <v>68</v>
      </c>
      <c r="K18" s="4">
        <v>68</v>
      </c>
      <c r="L18" s="4">
        <v>5.92</v>
      </c>
    </row>
    <row r="19" spans="1:12" ht="15" customHeight="1" x14ac:dyDescent="0.3">
      <c r="A19" s="14" t="s">
        <v>57</v>
      </c>
      <c r="B19" s="5" t="s">
        <v>40</v>
      </c>
      <c r="C19" s="5" t="s">
        <v>32</v>
      </c>
      <c r="D19" s="14" t="s">
        <v>33</v>
      </c>
      <c r="E19" s="5" t="s">
        <v>39</v>
      </c>
      <c r="F19" s="7">
        <v>49</v>
      </c>
      <c r="G19" s="7">
        <v>20</v>
      </c>
      <c r="H19" s="7">
        <v>0</v>
      </c>
      <c r="I19" s="7">
        <v>8.6</v>
      </c>
      <c r="J19" s="7">
        <v>77.599999999999994</v>
      </c>
      <c r="K19" s="7">
        <v>49</v>
      </c>
      <c r="L19" s="7">
        <v>4.26</v>
      </c>
    </row>
    <row r="20" spans="1:12" ht="15" customHeight="1" x14ac:dyDescent="0.3">
      <c r="A20" s="13" t="s">
        <v>57</v>
      </c>
      <c r="B20" s="2" t="s">
        <v>59</v>
      </c>
      <c r="C20" s="2" t="s">
        <v>60</v>
      </c>
      <c r="D20" s="13" t="s">
        <v>33</v>
      </c>
      <c r="E20" s="2" t="s">
        <v>34</v>
      </c>
      <c r="F20" s="4">
        <v>42</v>
      </c>
      <c r="G20" s="4">
        <v>0</v>
      </c>
      <c r="H20" s="4">
        <v>0</v>
      </c>
      <c r="I20" s="4">
        <v>0</v>
      </c>
      <c r="J20" s="4">
        <v>42</v>
      </c>
      <c r="K20" s="4">
        <v>42</v>
      </c>
      <c r="L20" s="4">
        <v>3.65</v>
      </c>
    </row>
    <row r="21" spans="1:12" ht="15" customHeight="1" x14ac:dyDescent="0.3">
      <c r="A21" s="14" t="s">
        <v>57</v>
      </c>
      <c r="B21" s="5" t="s">
        <v>31</v>
      </c>
      <c r="C21" s="5" t="s">
        <v>61</v>
      </c>
      <c r="D21" s="14" t="s">
        <v>33</v>
      </c>
      <c r="E21" s="5" t="s">
        <v>44</v>
      </c>
      <c r="F21" s="7">
        <v>55</v>
      </c>
      <c r="G21" s="7">
        <v>15</v>
      </c>
      <c r="H21" s="7">
        <v>3</v>
      </c>
      <c r="I21" s="7">
        <v>0</v>
      </c>
      <c r="J21" s="7">
        <v>73</v>
      </c>
      <c r="K21" s="7">
        <v>55</v>
      </c>
      <c r="L21" s="7">
        <v>4.78</v>
      </c>
    </row>
    <row r="22" spans="1:12" ht="15" customHeight="1" x14ac:dyDescent="0.3">
      <c r="A22" s="13" t="s">
        <v>57</v>
      </c>
      <c r="B22" s="2" t="s">
        <v>43</v>
      </c>
      <c r="C22" s="2" t="s">
        <v>38</v>
      </c>
      <c r="D22" s="13" t="s">
        <v>33</v>
      </c>
      <c r="E22" s="2" t="s">
        <v>44</v>
      </c>
      <c r="F22" s="4">
        <v>55</v>
      </c>
      <c r="G22" s="4">
        <v>15</v>
      </c>
      <c r="H22" s="4">
        <v>3</v>
      </c>
      <c r="I22" s="4">
        <v>0</v>
      </c>
      <c r="J22" s="4">
        <v>73</v>
      </c>
      <c r="K22" s="4">
        <v>55</v>
      </c>
      <c r="L22" s="4">
        <v>4.78</v>
      </c>
    </row>
    <row r="23" spans="1:12" ht="15" customHeight="1" x14ac:dyDescent="0.3">
      <c r="A23" s="14" t="s">
        <v>62</v>
      </c>
      <c r="B23" s="5" t="s">
        <v>31</v>
      </c>
      <c r="C23" s="5" t="s">
        <v>49</v>
      </c>
      <c r="D23" s="14" t="s">
        <v>33</v>
      </c>
      <c r="E23" s="5" t="s">
        <v>44</v>
      </c>
      <c r="F23" s="7">
        <v>55</v>
      </c>
      <c r="G23" s="7">
        <v>10</v>
      </c>
      <c r="H23" s="7">
        <v>0</v>
      </c>
      <c r="I23" s="7">
        <v>0</v>
      </c>
      <c r="J23" s="7">
        <v>65</v>
      </c>
      <c r="K23" s="7">
        <v>55</v>
      </c>
      <c r="L23" s="7">
        <v>4.78</v>
      </c>
    </row>
    <row r="24" spans="1:12" ht="15" customHeight="1" x14ac:dyDescent="0.3">
      <c r="A24" s="13" t="s">
        <v>63</v>
      </c>
      <c r="B24" s="2" t="s">
        <v>42</v>
      </c>
      <c r="C24" s="2" t="s">
        <v>64</v>
      </c>
      <c r="D24" s="13" t="s">
        <v>33</v>
      </c>
      <c r="E24" s="2" t="s">
        <v>52</v>
      </c>
      <c r="F24" s="4">
        <v>38</v>
      </c>
      <c r="G24" s="4">
        <v>0</v>
      </c>
      <c r="H24" s="4">
        <v>0</v>
      </c>
      <c r="I24" s="4">
        <v>25.8</v>
      </c>
      <c r="J24" s="4">
        <v>63.8</v>
      </c>
      <c r="K24" s="4">
        <v>38</v>
      </c>
      <c r="L24" s="4">
        <v>3.31</v>
      </c>
    </row>
    <row r="25" spans="1:12" ht="15" customHeight="1" x14ac:dyDescent="0.3">
      <c r="A25" s="14" t="s">
        <v>65</v>
      </c>
      <c r="B25" s="5" t="s">
        <v>66</v>
      </c>
      <c r="C25" s="5" t="s">
        <v>67</v>
      </c>
      <c r="D25" s="14" t="s">
        <v>33</v>
      </c>
      <c r="E25" s="5" t="s">
        <v>34</v>
      </c>
      <c r="F25" s="7">
        <v>42</v>
      </c>
      <c r="G25" s="7">
        <v>10</v>
      </c>
      <c r="H25" s="7">
        <v>0</v>
      </c>
      <c r="I25" s="7">
        <v>0</v>
      </c>
      <c r="J25" s="7">
        <v>52</v>
      </c>
      <c r="K25" s="7">
        <v>42</v>
      </c>
      <c r="L25" s="7">
        <v>3.65</v>
      </c>
    </row>
    <row r="26" spans="1:12" ht="15" customHeight="1" x14ac:dyDescent="0.3">
      <c r="A26" s="13" t="s">
        <v>65</v>
      </c>
      <c r="B26" s="2" t="s">
        <v>48</v>
      </c>
      <c r="C26" s="2" t="s">
        <v>68</v>
      </c>
      <c r="D26" s="13" t="s">
        <v>33</v>
      </c>
      <c r="E26" s="2" t="s">
        <v>52</v>
      </c>
      <c r="F26" s="4">
        <v>38</v>
      </c>
      <c r="G26" s="4">
        <v>0</v>
      </c>
      <c r="H26" s="4">
        <v>0</v>
      </c>
      <c r="I26" s="4">
        <v>8.6</v>
      </c>
      <c r="J26" s="4">
        <v>46.6</v>
      </c>
      <c r="K26" s="4">
        <v>38</v>
      </c>
      <c r="L26" s="4">
        <v>3.31</v>
      </c>
    </row>
    <row r="27" spans="1:12" ht="15" customHeight="1" x14ac:dyDescent="0.3">
      <c r="A27" s="14" t="s">
        <v>65</v>
      </c>
      <c r="B27" s="5" t="s">
        <v>69</v>
      </c>
      <c r="C27" s="5" t="s">
        <v>41</v>
      </c>
      <c r="D27" s="14" t="s">
        <v>33</v>
      </c>
      <c r="E27" s="5" t="s">
        <v>52</v>
      </c>
      <c r="F27" s="7">
        <v>38</v>
      </c>
      <c r="G27" s="7">
        <v>0</v>
      </c>
      <c r="H27" s="7">
        <v>3</v>
      </c>
      <c r="I27" s="7">
        <v>8.6</v>
      </c>
      <c r="J27" s="7">
        <v>49.6</v>
      </c>
      <c r="K27" s="7">
        <v>38</v>
      </c>
      <c r="L27" s="7">
        <v>3.31</v>
      </c>
    </row>
    <row r="28" spans="1:12" ht="15" customHeight="1" x14ac:dyDescent="0.3">
      <c r="A28" s="13" t="s">
        <v>65</v>
      </c>
      <c r="B28" s="2" t="s">
        <v>54</v>
      </c>
      <c r="C28" s="2" t="s">
        <v>46</v>
      </c>
      <c r="D28" s="13" t="s">
        <v>33</v>
      </c>
      <c r="E28" s="2" t="s">
        <v>34</v>
      </c>
      <c r="F28" s="4">
        <v>42</v>
      </c>
      <c r="G28" s="4">
        <v>10</v>
      </c>
      <c r="H28" s="4">
        <v>0</v>
      </c>
      <c r="I28" s="4">
        <v>17.2</v>
      </c>
      <c r="J28" s="4">
        <v>69.2</v>
      </c>
      <c r="K28" s="4">
        <v>42</v>
      </c>
      <c r="L28" s="4">
        <v>3.65</v>
      </c>
    </row>
    <row r="29" spans="1:12" ht="15" customHeight="1" x14ac:dyDescent="0.3">
      <c r="A29" s="14" t="s">
        <v>65</v>
      </c>
      <c r="B29" s="5" t="s">
        <v>70</v>
      </c>
      <c r="C29" s="5" t="s">
        <v>71</v>
      </c>
      <c r="D29" s="14" t="s">
        <v>33</v>
      </c>
      <c r="E29" s="5" t="s">
        <v>52</v>
      </c>
      <c r="F29" s="7">
        <v>38</v>
      </c>
      <c r="G29" s="7">
        <v>15</v>
      </c>
      <c r="H29" s="7">
        <v>0</v>
      </c>
      <c r="I29" s="7">
        <v>0</v>
      </c>
      <c r="J29" s="7">
        <v>53</v>
      </c>
      <c r="K29" s="7">
        <v>38</v>
      </c>
      <c r="L29" s="7">
        <v>3.31</v>
      </c>
    </row>
    <row r="30" spans="1:12" ht="15" customHeight="1" x14ac:dyDescent="0.3">
      <c r="A30" s="13" t="s">
        <v>72</v>
      </c>
      <c r="B30" s="2" t="s">
        <v>37</v>
      </c>
      <c r="C30" s="2" t="s">
        <v>60</v>
      </c>
      <c r="D30" s="13" t="s">
        <v>33</v>
      </c>
      <c r="E30" s="2" t="s">
        <v>34</v>
      </c>
      <c r="F30" s="4">
        <v>42</v>
      </c>
      <c r="G30" s="4">
        <v>10</v>
      </c>
      <c r="H30" s="4">
        <v>0</v>
      </c>
      <c r="I30" s="4">
        <v>8.6</v>
      </c>
      <c r="J30" s="4">
        <v>60.6</v>
      </c>
      <c r="K30" s="4">
        <v>42</v>
      </c>
      <c r="L30" s="4">
        <v>3.65</v>
      </c>
    </row>
    <row r="31" spans="1:12" ht="15" customHeight="1" x14ac:dyDescent="0.3">
      <c r="A31" s="14" t="s">
        <v>72</v>
      </c>
      <c r="B31" s="5" t="s">
        <v>42</v>
      </c>
      <c r="C31" s="5" t="s">
        <v>71</v>
      </c>
      <c r="D31" s="14" t="s">
        <v>33</v>
      </c>
      <c r="E31" s="5" t="s">
        <v>39</v>
      </c>
      <c r="F31" s="7">
        <v>49</v>
      </c>
      <c r="G31" s="7">
        <v>10</v>
      </c>
      <c r="H31" s="7">
        <v>0</v>
      </c>
      <c r="I31" s="7">
        <v>0</v>
      </c>
      <c r="J31" s="7">
        <v>59</v>
      </c>
      <c r="K31" s="7">
        <v>49</v>
      </c>
      <c r="L31" s="7">
        <v>4.26</v>
      </c>
    </row>
    <row r="32" spans="1:12" ht="15" customHeight="1" x14ac:dyDescent="0.3">
      <c r="A32" s="13" t="s">
        <v>72</v>
      </c>
      <c r="B32" s="2" t="s">
        <v>73</v>
      </c>
      <c r="C32" s="2" t="s">
        <v>38</v>
      </c>
      <c r="D32" s="13" t="s">
        <v>33</v>
      </c>
      <c r="E32" s="2" t="s">
        <v>47</v>
      </c>
      <c r="F32" s="4">
        <v>55</v>
      </c>
      <c r="G32" s="4">
        <v>0</v>
      </c>
      <c r="H32" s="4">
        <v>0</v>
      </c>
      <c r="I32" s="4">
        <v>17.2</v>
      </c>
      <c r="J32" s="4">
        <v>72.2</v>
      </c>
      <c r="K32" s="4">
        <v>55</v>
      </c>
      <c r="L32" s="4">
        <v>4.78</v>
      </c>
    </row>
    <row r="33" spans="1:12" ht="15" customHeight="1" x14ac:dyDescent="0.3">
      <c r="A33" s="14" t="s">
        <v>74</v>
      </c>
      <c r="B33" s="5" t="s">
        <v>54</v>
      </c>
      <c r="C33" s="5" t="s">
        <v>49</v>
      </c>
      <c r="D33" s="14" t="s">
        <v>33</v>
      </c>
      <c r="E33" s="5" t="s">
        <v>39</v>
      </c>
      <c r="F33" s="7">
        <v>49</v>
      </c>
      <c r="G33" s="7">
        <v>10</v>
      </c>
      <c r="H33" s="7">
        <v>3</v>
      </c>
      <c r="I33" s="7">
        <v>0</v>
      </c>
      <c r="J33" s="7">
        <v>62</v>
      </c>
      <c r="K33" s="7">
        <v>49</v>
      </c>
      <c r="L33" s="7">
        <v>4.26</v>
      </c>
    </row>
    <row r="34" spans="1:12" ht="15" customHeight="1" x14ac:dyDescent="0.3">
      <c r="A34" s="13" t="s">
        <v>75</v>
      </c>
      <c r="B34" s="2" t="s">
        <v>31</v>
      </c>
      <c r="C34" s="2" t="s">
        <v>64</v>
      </c>
      <c r="D34" s="13" t="s">
        <v>33</v>
      </c>
      <c r="E34" s="2" t="s">
        <v>34</v>
      </c>
      <c r="F34" s="4">
        <v>42</v>
      </c>
      <c r="G34" s="4">
        <v>0</v>
      </c>
      <c r="H34" s="4">
        <v>0</v>
      </c>
      <c r="I34" s="4">
        <v>0</v>
      </c>
      <c r="J34" s="4">
        <v>42</v>
      </c>
      <c r="K34" s="4">
        <v>42</v>
      </c>
      <c r="L34" s="4">
        <v>3.65</v>
      </c>
    </row>
    <row r="35" spans="1:12" ht="15" customHeight="1" x14ac:dyDescent="0.3">
      <c r="A35" s="14" t="s">
        <v>75</v>
      </c>
      <c r="B35" s="5" t="s">
        <v>70</v>
      </c>
      <c r="C35" s="5" t="s">
        <v>41</v>
      </c>
      <c r="D35" s="14" t="s">
        <v>33</v>
      </c>
      <c r="E35" s="5" t="s">
        <v>52</v>
      </c>
      <c r="F35" s="7">
        <v>38</v>
      </c>
      <c r="G35" s="7">
        <v>10</v>
      </c>
      <c r="H35" s="7">
        <v>0</v>
      </c>
      <c r="I35" s="7">
        <v>8.6</v>
      </c>
      <c r="J35" s="7">
        <v>56.6</v>
      </c>
      <c r="K35" s="7">
        <v>38</v>
      </c>
      <c r="L35" s="7">
        <v>3.31</v>
      </c>
    </row>
    <row r="36" spans="1:12" ht="15" customHeight="1" x14ac:dyDescent="0.3">
      <c r="A36" s="13" t="s">
        <v>76</v>
      </c>
      <c r="B36" s="2" t="s">
        <v>77</v>
      </c>
      <c r="C36" s="2" t="s">
        <v>38</v>
      </c>
      <c r="D36" s="13" t="s">
        <v>33</v>
      </c>
      <c r="E36" s="2" t="s">
        <v>44</v>
      </c>
      <c r="F36" s="4">
        <v>55</v>
      </c>
      <c r="G36" s="4">
        <v>10</v>
      </c>
      <c r="H36" s="4">
        <v>0</v>
      </c>
      <c r="I36" s="4">
        <v>25.8</v>
      </c>
      <c r="J36" s="4">
        <v>90.8</v>
      </c>
      <c r="K36" s="4">
        <v>55</v>
      </c>
      <c r="L36" s="4">
        <v>4.78</v>
      </c>
    </row>
    <row r="37" spans="1:12" ht="15" customHeight="1" x14ac:dyDescent="0.3">
      <c r="A37" s="14" t="s">
        <v>76</v>
      </c>
      <c r="B37" s="5" t="s">
        <v>54</v>
      </c>
      <c r="C37" s="5" t="s">
        <v>68</v>
      </c>
      <c r="D37" s="14" t="s">
        <v>33</v>
      </c>
      <c r="E37" s="5" t="s">
        <v>44</v>
      </c>
      <c r="F37" s="7">
        <v>55</v>
      </c>
      <c r="G37" s="7">
        <v>0</v>
      </c>
      <c r="H37" s="7">
        <v>3</v>
      </c>
      <c r="I37" s="7">
        <v>0</v>
      </c>
      <c r="J37" s="7">
        <v>58</v>
      </c>
      <c r="K37" s="7">
        <v>55</v>
      </c>
      <c r="L37" s="7">
        <v>4.78</v>
      </c>
    </row>
    <row r="38" spans="1:12" ht="15" customHeight="1" x14ac:dyDescent="0.3">
      <c r="A38" s="13" t="s">
        <v>76</v>
      </c>
      <c r="B38" s="2" t="s">
        <v>70</v>
      </c>
      <c r="C38" s="2" t="s">
        <v>58</v>
      </c>
      <c r="D38" s="13" t="s">
        <v>33</v>
      </c>
      <c r="E38" s="2" t="s">
        <v>52</v>
      </c>
      <c r="F38" s="4">
        <v>38</v>
      </c>
      <c r="G38" s="4">
        <v>10</v>
      </c>
      <c r="H38" s="4">
        <v>0</v>
      </c>
      <c r="I38" s="4">
        <v>0</v>
      </c>
      <c r="J38" s="4">
        <v>48</v>
      </c>
      <c r="K38" s="4">
        <v>38</v>
      </c>
      <c r="L38" s="4">
        <v>3.31</v>
      </c>
    </row>
    <row r="39" spans="1:12" ht="15" customHeight="1" x14ac:dyDescent="0.3">
      <c r="A39" s="14" t="s">
        <v>78</v>
      </c>
      <c r="B39" s="5" t="s">
        <v>40</v>
      </c>
      <c r="C39" s="5" t="s">
        <v>49</v>
      </c>
      <c r="D39" s="14" t="s">
        <v>33</v>
      </c>
      <c r="E39" s="5" t="s">
        <v>47</v>
      </c>
      <c r="F39" s="7">
        <v>55</v>
      </c>
      <c r="G39" s="7">
        <v>20</v>
      </c>
      <c r="H39" s="7">
        <v>0</v>
      </c>
      <c r="I39" s="7">
        <v>25.8</v>
      </c>
      <c r="J39" s="7">
        <v>100.8</v>
      </c>
      <c r="K39" s="7">
        <v>55</v>
      </c>
      <c r="L39" s="7">
        <v>4.78</v>
      </c>
    </row>
    <row r="40" spans="1:12" ht="15" customHeight="1" x14ac:dyDescent="0.3">
      <c r="A40" s="13" t="s">
        <v>78</v>
      </c>
      <c r="B40" s="2" t="s">
        <v>40</v>
      </c>
      <c r="C40" s="2" t="s">
        <v>53</v>
      </c>
      <c r="D40" s="13" t="s">
        <v>33</v>
      </c>
      <c r="E40" s="2" t="s">
        <v>44</v>
      </c>
      <c r="F40" s="4">
        <v>55</v>
      </c>
      <c r="G40" s="4">
        <v>15</v>
      </c>
      <c r="H40" s="4">
        <v>3</v>
      </c>
      <c r="I40" s="4">
        <v>8.6</v>
      </c>
      <c r="J40" s="4">
        <v>81.599999999999994</v>
      </c>
      <c r="K40" s="4">
        <v>55</v>
      </c>
      <c r="L40" s="4">
        <v>4.78</v>
      </c>
    </row>
    <row r="41" spans="1:12" ht="15" customHeight="1" x14ac:dyDescent="0.3">
      <c r="A41" s="14" t="s">
        <v>78</v>
      </c>
      <c r="B41" s="5" t="s">
        <v>73</v>
      </c>
      <c r="C41" s="5" t="s">
        <v>53</v>
      </c>
      <c r="D41" s="14" t="s">
        <v>33</v>
      </c>
      <c r="E41" s="5" t="s">
        <v>52</v>
      </c>
      <c r="F41" s="7">
        <v>38</v>
      </c>
      <c r="G41" s="7">
        <v>15</v>
      </c>
      <c r="H41" s="7">
        <v>0</v>
      </c>
      <c r="I41" s="7">
        <v>0</v>
      </c>
      <c r="J41" s="7">
        <v>53</v>
      </c>
      <c r="K41" s="7">
        <v>38</v>
      </c>
      <c r="L41" s="7">
        <v>3.31</v>
      </c>
    </row>
    <row r="42" spans="1:12" ht="15" customHeight="1" x14ac:dyDescent="0.3">
      <c r="A42" s="13" t="s">
        <v>78</v>
      </c>
      <c r="B42" s="2" t="s">
        <v>43</v>
      </c>
      <c r="C42" s="2" t="s">
        <v>49</v>
      </c>
      <c r="D42" s="13" t="s">
        <v>33</v>
      </c>
      <c r="E42" s="2" t="s">
        <v>34</v>
      </c>
      <c r="F42" s="4">
        <v>42</v>
      </c>
      <c r="G42" s="4">
        <v>0</v>
      </c>
      <c r="H42" s="4">
        <v>0</v>
      </c>
      <c r="I42" s="4">
        <v>8.6</v>
      </c>
      <c r="J42" s="4">
        <v>50.6</v>
      </c>
      <c r="K42" s="4">
        <v>42</v>
      </c>
      <c r="L42" s="4">
        <v>3.65</v>
      </c>
    </row>
    <row r="43" spans="1:12" ht="15" customHeight="1" x14ac:dyDescent="0.3">
      <c r="A43" s="14" t="s">
        <v>78</v>
      </c>
      <c r="B43" s="5" t="s">
        <v>43</v>
      </c>
      <c r="C43" s="5" t="s">
        <v>64</v>
      </c>
      <c r="D43" s="14" t="s">
        <v>33</v>
      </c>
      <c r="E43" s="5" t="s">
        <v>55</v>
      </c>
      <c r="F43" s="7">
        <v>68</v>
      </c>
      <c r="G43" s="7">
        <v>10</v>
      </c>
      <c r="H43" s="7">
        <v>0</v>
      </c>
      <c r="I43" s="7">
        <v>0</v>
      </c>
      <c r="J43" s="7">
        <v>78</v>
      </c>
      <c r="K43" s="7">
        <v>68</v>
      </c>
      <c r="L43" s="7">
        <v>5.92</v>
      </c>
    </row>
    <row r="44" spans="1:12" ht="15" customHeight="1" x14ac:dyDescent="0.3">
      <c r="A44" s="13" t="s">
        <v>79</v>
      </c>
      <c r="B44" s="2" t="s">
        <v>66</v>
      </c>
      <c r="C44" s="2" t="s">
        <v>67</v>
      </c>
      <c r="D44" s="13" t="s">
        <v>33</v>
      </c>
      <c r="E44" s="2" t="s">
        <v>34</v>
      </c>
      <c r="F44" s="4">
        <v>42</v>
      </c>
      <c r="G44" s="4">
        <v>20</v>
      </c>
      <c r="H44" s="4">
        <v>0</v>
      </c>
      <c r="I44" s="4">
        <v>8.6</v>
      </c>
      <c r="J44" s="4">
        <v>70.599999999999994</v>
      </c>
      <c r="K44" s="4">
        <v>42</v>
      </c>
      <c r="L44" s="4">
        <v>3.65</v>
      </c>
    </row>
    <row r="45" spans="1:12" ht="15" customHeight="1" x14ac:dyDescent="0.3">
      <c r="A45" s="14" t="s">
        <v>79</v>
      </c>
      <c r="B45" s="5" t="s">
        <v>66</v>
      </c>
      <c r="C45" s="5" t="s">
        <v>61</v>
      </c>
      <c r="D45" s="14" t="s">
        <v>33</v>
      </c>
      <c r="E45" s="5" t="s">
        <v>44</v>
      </c>
      <c r="F45" s="7">
        <v>55</v>
      </c>
      <c r="G45" s="7">
        <v>10</v>
      </c>
      <c r="H45" s="7">
        <v>3</v>
      </c>
      <c r="I45" s="7">
        <v>0</v>
      </c>
      <c r="J45" s="7">
        <v>68</v>
      </c>
      <c r="K45" s="7">
        <v>55</v>
      </c>
      <c r="L45" s="7">
        <v>4.78</v>
      </c>
    </row>
    <row r="46" spans="1:12" ht="15" customHeight="1" x14ac:dyDescent="0.3">
      <c r="A46" s="13" t="s">
        <v>79</v>
      </c>
      <c r="B46" s="2" t="s">
        <v>54</v>
      </c>
      <c r="C46" s="2" t="s">
        <v>51</v>
      </c>
      <c r="D46" s="13" t="s">
        <v>33</v>
      </c>
      <c r="E46" s="2" t="s">
        <v>39</v>
      </c>
      <c r="F46" s="4">
        <v>49</v>
      </c>
      <c r="G46" s="4">
        <v>20</v>
      </c>
      <c r="H46" s="4">
        <v>0</v>
      </c>
      <c r="I46" s="4">
        <v>25.8</v>
      </c>
      <c r="J46" s="4">
        <v>94.8</v>
      </c>
      <c r="K46" s="4">
        <v>49</v>
      </c>
      <c r="L46" s="4">
        <v>4.26</v>
      </c>
    </row>
    <row r="47" spans="1:12" ht="15" customHeight="1" x14ac:dyDescent="0.3">
      <c r="A47" s="14" t="s">
        <v>80</v>
      </c>
      <c r="B47" s="5" t="s">
        <v>43</v>
      </c>
      <c r="C47" s="5" t="s">
        <v>58</v>
      </c>
      <c r="D47" s="14" t="s">
        <v>33</v>
      </c>
      <c r="E47" s="5" t="s">
        <v>39</v>
      </c>
      <c r="F47" s="7">
        <v>49</v>
      </c>
      <c r="G47" s="7">
        <v>10</v>
      </c>
      <c r="H47" s="7">
        <v>0</v>
      </c>
      <c r="I47" s="7">
        <v>17.2</v>
      </c>
      <c r="J47" s="7">
        <v>76.2</v>
      </c>
      <c r="K47" s="7">
        <v>49</v>
      </c>
      <c r="L47" s="7">
        <v>4.26</v>
      </c>
    </row>
    <row r="48" spans="1:12" ht="15" customHeight="1" x14ac:dyDescent="0.3">
      <c r="A48" s="13" t="s">
        <v>81</v>
      </c>
      <c r="B48" s="2" t="s">
        <v>37</v>
      </c>
      <c r="C48" s="2" t="s">
        <v>67</v>
      </c>
      <c r="D48" s="13" t="s">
        <v>33</v>
      </c>
      <c r="E48" s="2" t="s">
        <v>39</v>
      </c>
      <c r="F48" s="4">
        <v>49</v>
      </c>
      <c r="G48" s="4">
        <v>0</v>
      </c>
      <c r="H48" s="4">
        <v>0</v>
      </c>
      <c r="I48" s="4">
        <v>8.6</v>
      </c>
      <c r="J48" s="4">
        <v>57.6</v>
      </c>
      <c r="K48" s="4">
        <v>49</v>
      </c>
      <c r="L48" s="4">
        <v>4.26</v>
      </c>
    </row>
    <row r="49" spans="1:12" ht="15" customHeight="1" x14ac:dyDescent="0.3">
      <c r="A49" s="14" t="s">
        <v>81</v>
      </c>
      <c r="B49" s="5" t="s">
        <v>37</v>
      </c>
      <c r="C49" s="5" t="s">
        <v>61</v>
      </c>
      <c r="D49" s="14" t="s">
        <v>33</v>
      </c>
      <c r="E49" s="5" t="s">
        <v>34</v>
      </c>
      <c r="F49" s="7">
        <v>42</v>
      </c>
      <c r="G49" s="7">
        <v>0</v>
      </c>
      <c r="H49" s="7">
        <v>0</v>
      </c>
      <c r="I49" s="7">
        <v>25.8</v>
      </c>
      <c r="J49" s="7">
        <v>67.8</v>
      </c>
      <c r="K49" s="7">
        <v>42</v>
      </c>
      <c r="L49" s="7">
        <v>3.65</v>
      </c>
    </row>
    <row r="50" spans="1:12" ht="15" customHeight="1" x14ac:dyDescent="0.3">
      <c r="A50" s="13" t="s">
        <v>81</v>
      </c>
      <c r="B50" s="2" t="s">
        <v>37</v>
      </c>
      <c r="C50" s="2" t="s">
        <v>71</v>
      </c>
      <c r="D50" s="13" t="s">
        <v>33</v>
      </c>
      <c r="E50" s="2" t="s">
        <v>55</v>
      </c>
      <c r="F50" s="4">
        <v>68</v>
      </c>
      <c r="G50" s="4">
        <v>10</v>
      </c>
      <c r="H50" s="4">
        <v>0</v>
      </c>
      <c r="I50" s="4">
        <v>17.2</v>
      </c>
      <c r="J50" s="4">
        <v>95.2</v>
      </c>
      <c r="K50" s="4">
        <v>68</v>
      </c>
      <c r="L50" s="4">
        <v>5.92</v>
      </c>
    </row>
    <row r="51" spans="1:12" ht="15" customHeight="1" x14ac:dyDescent="0.3">
      <c r="A51" s="14" t="s">
        <v>81</v>
      </c>
      <c r="B51" s="5" t="s">
        <v>40</v>
      </c>
      <c r="C51" s="5" t="s">
        <v>58</v>
      </c>
      <c r="D51" s="14" t="s">
        <v>33</v>
      </c>
      <c r="E51" s="5" t="s">
        <v>47</v>
      </c>
      <c r="F51" s="7">
        <v>55</v>
      </c>
      <c r="G51" s="7">
        <v>20</v>
      </c>
      <c r="H51" s="7">
        <v>0</v>
      </c>
      <c r="I51" s="7">
        <v>25.8</v>
      </c>
      <c r="J51" s="7">
        <v>100.8</v>
      </c>
      <c r="K51" s="7">
        <v>55</v>
      </c>
      <c r="L51" s="7">
        <v>4.78</v>
      </c>
    </row>
    <row r="52" spans="1:12" ht="15" customHeight="1" x14ac:dyDescent="0.3">
      <c r="A52" s="13" t="s">
        <v>81</v>
      </c>
      <c r="B52" s="2" t="s">
        <v>59</v>
      </c>
      <c r="C52" s="2" t="s">
        <v>53</v>
      </c>
      <c r="D52" s="13" t="s">
        <v>33</v>
      </c>
      <c r="E52" s="2" t="s">
        <v>55</v>
      </c>
      <c r="F52" s="4">
        <v>68</v>
      </c>
      <c r="G52" s="4">
        <v>0</v>
      </c>
      <c r="H52" s="4">
        <v>0</v>
      </c>
      <c r="I52" s="4">
        <v>0</v>
      </c>
      <c r="J52" s="4">
        <v>68</v>
      </c>
      <c r="K52" s="4">
        <v>68</v>
      </c>
      <c r="L52" s="4">
        <v>5.92</v>
      </c>
    </row>
    <row r="53" spans="1:12" ht="15" customHeight="1" x14ac:dyDescent="0.3">
      <c r="A53" s="14" t="s">
        <v>81</v>
      </c>
      <c r="B53" s="5" t="s">
        <v>42</v>
      </c>
      <c r="C53" s="5" t="s">
        <v>32</v>
      </c>
      <c r="D53" s="14" t="s">
        <v>33</v>
      </c>
      <c r="E53" s="5" t="s">
        <v>39</v>
      </c>
      <c r="F53" s="7">
        <v>49</v>
      </c>
      <c r="G53" s="7">
        <v>10</v>
      </c>
      <c r="H53" s="7">
        <v>0</v>
      </c>
      <c r="I53" s="7">
        <v>0</v>
      </c>
      <c r="J53" s="7">
        <v>59</v>
      </c>
      <c r="K53" s="7">
        <v>49</v>
      </c>
      <c r="L53" s="7">
        <v>4.26</v>
      </c>
    </row>
    <row r="54" spans="1:12" ht="15" customHeight="1" x14ac:dyDescent="0.3">
      <c r="A54" s="13" t="s">
        <v>81</v>
      </c>
      <c r="B54" s="2" t="s">
        <v>70</v>
      </c>
      <c r="C54" s="2" t="s">
        <v>32</v>
      </c>
      <c r="D54" s="13" t="s">
        <v>33</v>
      </c>
      <c r="E54" s="2" t="s">
        <v>47</v>
      </c>
      <c r="F54" s="4">
        <v>55</v>
      </c>
      <c r="G54" s="4">
        <v>20</v>
      </c>
      <c r="H54" s="4">
        <v>0</v>
      </c>
      <c r="I54" s="4">
        <v>25.8</v>
      </c>
      <c r="J54" s="4">
        <v>100.8</v>
      </c>
      <c r="K54" s="4">
        <v>55</v>
      </c>
      <c r="L54" s="4">
        <v>4.78</v>
      </c>
    </row>
    <row r="55" spans="1:12" ht="15" customHeight="1" x14ac:dyDescent="0.3">
      <c r="A55" s="14" t="s">
        <v>82</v>
      </c>
      <c r="B55" s="5" t="s">
        <v>69</v>
      </c>
      <c r="C55" s="5" t="s">
        <v>53</v>
      </c>
      <c r="D55" s="14" t="s">
        <v>33</v>
      </c>
      <c r="E55" s="5" t="s">
        <v>47</v>
      </c>
      <c r="F55" s="7">
        <v>55</v>
      </c>
      <c r="G55" s="7">
        <v>20</v>
      </c>
      <c r="H55" s="7">
        <v>0</v>
      </c>
      <c r="I55" s="7">
        <v>0</v>
      </c>
      <c r="J55" s="7">
        <v>75</v>
      </c>
      <c r="K55" s="7">
        <v>55</v>
      </c>
      <c r="L55" s="7">
        <v>4.78</v>
      </c>
    </row>
    <row r="56" spans="1:12" ht="15" customHeight="1" x14ac:dyDescent="0.3">
      <c r="A56" s="13" t="s">
        <v>83</v>
      </c>
      <c r="B56" s="2" t="s">
        <v>77</v>
      </c>
      <c r="C56" s="2" t="s">
        <v>51</v>
      </c>
      <c r="D56" s="13" t="s">
        <v>33</v>
      </c>
      <c r="E56" s="2" t="s">
        <v>39</v>
      </c>
      <c r="F56" s="4">
        <v>49</v>
      </c>
      <c r="G56" s="4">
        <v>10</v>
      </c>
      <c r="H56" s="4">
        <v>0</v>
      </c>
      <c r="I56" s="4">
        <v>0</v>
      </c>
      <c r="J56" s="4">
        <v>59</v>
      </c>
      <c r="K56" s="4">
        <v>49</v>
      </c>
      <c r="L56" s="4">
        <v>4.26</v>
      </c>
    </row>
    <row r="57" spans="1:12" ht="15" customHeight="1" x14ac:dyDescent="0.3">
      <c r="A57" s="14" t="s">
        <v>84</v>
      </c>
      <c r="B57" s="5" t="s">
        <v>48</v>
      </c>
      <c r="C57" s="5" t="s">
        <v>41</v>
      </c>
      <c r="D57" s="14" t="s">
        <v>33</v>
      </c>
      <c r="E57" s="5" t="s">
        <v>52</v>
      </c>
      <c r="F57" s="7">
        <v>38</v>
      </c>
      <c r="G57" s="7">
        <v>10</v>
      </c>
      <c r="H57" s="7">
        <v>0</v>
      </c>
      <c r="I57" s="7">
        <v>8.6</v>
      </c>
      <c r="J57" s="7">
        <v>56.6</v>
      </c>
      <c r="K57" s="7">
        <v>38</v>
      </c>
      <c r="L57" s="7">
        <v>3.31</v>
      </c>
    </row>
    <row r="58" spans="1:12" ht="15" customHeight="1" x14ac:dyDescent="0.3">
      <c r="A58" s="13" t="s">
        <v>84</v>
      </c>
      <c r="B58" s="2" t="s">
        <v>42</v>
      </c>
      <c r="C58" s="2" t="s">
        <v>71</v>
      </c>
      <c r="D58" s="13" t="s">
        <v>33</v>
      </c>
      <c r="E58" s="2" t="s">
        <v>52</v>
      </c>
      <c r="F58" s="4">
        <v>38</v>
      </c>
      <c r="G58" s="4">
        <v>20</v>
      </c>
      <c r="H58" s="4">
        <v>0</v>
      </c>
      <c r="I58" s="4">
        <v>25.8</v>
      </c>
      <c r="J58" s="4">
        <v>83.8</v>
      </c>
      <c r="K58" s="4">
        <v>38</v>
      </c>
      <c r="L58" s="4">
        <v>3.31</v>
      </c>
    </row>
    <row r="59" spans="1:12" ht="15" customHeight="1" x14ac:dyDescent="0.3">
      <c r="A59" s="14" t="s">
        <v>84</v>
      </c>
      <c r="B59" s="5" t="s">
        <v>70</v>
      </c>
      <c r="C59" s="5" t="s">
        <v>67</v>
      </c>
      <c r="D59" s="14" t="s">
        <v>33</v>
      </c>
      <c r="E59" s="5" t="s">
        <v>34</v>
      </c>
      <c r="F59" s="7">
        <v>42</v>
      </c>
      <c r="G59" s="7">
        <v>15</v>
      </c>
      <c r="H59" s="7">
        <v>0</v>
      </c>
      <c r="I59" s="7">
        <v>0</v>
      </c>
      <c r="J59" s="7">
        <v>57</v>
      </c>
      <c r="K59" s="7">
        <v>42</v>
      </c>
      <c r="L59" s="7">
        <v>3.65</v>
      </c>
    </row>
    <row r="60" spans="1:12" ht="15" customHeight="1" x14ac:dyDescent="0.3">
      <c r="A60" s="13" t="s">
        <v>85</v>
      </c>
      <c r="B60" s="2" t="s">
        <v>48</v>
      </c>
      <c r="C60" s="2" t="s">
        <v>32</v>
      </c>
      <c r="D60" s="13" t="s">
        <v>33</v>
      </c>
      <c r="E60" s="2" t="s">
        <v>34</v>
      </c>
      <c r="F60" s="4">
        <v>42</v>
      </c>
      <c r="G60" s="4">
        <v>10</v>
      </c>
      <c r="H60" s="4">
        <v>0</v>
      </c>
      <c r="I60" s="4">
        <v>0</v>
      </c>
      <c r="J60" s="4">
        <v>52</v>
      </c>
      <c r="K60" s="4">
        <v>42</v>
      </c>
      <c r="L60" s="4">
        <v>3.65</v>
      </c>
    </row>
    <row r="61" spans="1:12" ht="15" customHeight="1" x14ac:dyDescent="0.3">
      <c r="A61" s="14" t="s">
        <v>85</v>
      </c>
      <c r="B61" s="5" t="s">
        <v>31</v>
      </c>
      <c r="C61" s="5" t="s">
        <v>71</v>
      </c>
      <c r="D61" s="14" t="s">
        <v>33</v>
      </c>
      <c r="E61" s="5" t="s">
        <v>34</v>
      </c>
      <c r="F61" s="7">
        <v>42</v>
      </c>
      <c r="G61" s="7">
        <v>15</v>
      </c>
      <c r="H61" s="7">
        <v>0</v>
      </c>
      <c r="I61" s="7">
        <v>0</v>
      </c>
      <c r="J61" s="7">
        <v>57</v>
      </c>
      <c r="K61" s="7">
        <v>42</v>
      </c>
      <c r="L61" s="7">
        <v>3.65</v>
      </c>
    </row>
    <row r="62" spans="1:12" ht="15" customHeight="1" x14ac:dyDescent="0.3">
      <c r="A62" s="13" t="s">
        <v>86</v>
      </c>
      <c r="B62" s="2" t="s">
        <v>43</v>
      </c>
      <c r="C62" s="2" t="s">
        <v>46</v>
      </c>
      <c r="D62" s="13" t="s">
        <v>33</v>
      </c>
      <c r="E62" s="2" t="s">
        <v>44</v>
      </c>
      <c r="F62" s="4">
        <v>55</v>
      </c>
      <c r="G62" s="4">
        <v>0</v>
      </c>
      <c r="H62" s="4">
        <v>3</v>
      </c>
      <c r="I62" s="4">
        <v>0</v>
      </c>
      <c r="J62" s="4">
        <v>58</v>
      </c>
      <c r="K62" s="4">
        <v>55</v>
      </c>
      <c r="L62" s="4">
        <v>4.78</v>
      </c>
    </row>
    <row r="63" spans="1:12" ht="15" customHeight="1" x14ac:dyDescent="0.3">
      <c r="A63" s="14" t="s">
        <v>86</v>
      </c>
      <c r="B63" s="5" t="s">
        <v>43</v>
      </c>
      <c r="C63" s="5" t="s">
        <v>35</v>
      </c>
      <c r="D63" s="14" t="s">
        <v>33</v>
      </c>
      <c r="E63" s="5" t="s">
        <v>47</v>
      </c>
      <c r="F63" s="7">
        <v>55</v>
      </c>
      <c r="G63" s="7">
        <v>0</v>
      </c>
      <c r="H63" s="7">
        <v>3</v>
      </c>
      <c r="I63" s="7">
        <v>8.6</v>
      </c>
      <c r="J63" s="7">
        <v>66.599999999999994</v>
      </c>
      <c r="K63" s="7">
        <v>55</v>
      </c>
      <c r="L63" s="7">
        <v>4.78</v>
      </c>
    </row>
    <row r="64" spans="1:12" x14ac:dyDescent="0.3">
      <c r="A64" s="8" t="s">
        <v>15</v>
      </c>
      <c r="B64" s="8"/>
      <c r="C64" s="8"/>
      <c r="D64" s="8"/>
      <c r="E64" s="8"/>
      <c r="F64" s="10">
        <f t="shared" ref="F64:L64" si="0">SUM(F4:F63)</f>
        <v>2927</v>
      </c>
      <c r="G64" s="10">
        <f t="shared" si="0"/>
        <v>535</v>
      </c>
      <c r="H64" s="10">
        <f t="shared" si="0"/>
        <v>39</v>
      </c>
      <c r="I64" s="10">
        <f t="shared" si="0"/>
        <v>473.00000000000011</v>
      </c>
      <c r="J64" s="10">
        <f t="shared" si="0"/>
        <v>3974</v>
      </c>
      <c r="K64" s="10">
        <f t="shared" si="0"/>
        <v>2927</v>
      </c>
      <c r="L64" s="10">
        <f t="shared" si="0"/>
        <v>254.52000000000004</v>
      </c>
    </row>
    <row r="66" spans="1:12" x14ac:dyDescent="0.3">
      <c r="A66" s="19" t="s">
        <v>87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</sheetData>
  <mergeCells count="2">
    <mergeCell ref="A66:L66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/>
  </sheetViews>
  <sheetFormatPr defaultRowHeight="14.4" x14ac:dyDescent="0.3"/>
  <cols>
    <col min="1" max="1" width="28" customWidth="1"/>
    <col min="2" max="2" width="12" customWidth="1"/>
    <col min="3" max="5" width="18" customWidth="1"/>
  </cols>
  <sheetData>
    <row r="1" spans="1:7" ht="19.95" customHeight="1" x14ac:dyDescent="0.3">
      <c r="A1" s="20" t="s">
        <v>88</v>
      </c>
      <c r="B1" s="16"/>
      <c r="C1" s="16"/>
      <c r="D1" s="16"/>
      <c r="E1" s="16"/>
      <c r="F1" s="16"/>
      <c r="G1" s="16"/>
    </row>
    <row r="2" spans="1:7" ht="7.95" customHeight="1" x14ac:dyDescent="0.3"/>
    <row r="3" spans="1:7" ht="18" customHeight="1" x14ac:dyDescent="0.3">
      <c r="A3" s="1" t="s">
        <v>20</v>
      </c>
      <c r="B3" s="1" t="s">
        <v>3</v>
      </c>
      <c r="C3" s="1" t="s">
        <v>89</v>
      </c>
      <c r="D3" s="1" t="s">
        <v>5</v>
      </c>
      <c r="E3" s="1" t="s">
        <v>6</v>
      </c>
    </row>
    <row r="4" spans="1:7" ht="15" customHeight="1" x14ac:dyDescent="0.3">
      <c r="A4" s="2" t="s">
        <v>37</v>
      </c>
      <c r="B4" s="3">
        <v>6</v>
      </c>
      <c r="C4" s="4">
        <v>305</v>
      </c>
      <c r="D4" s="4">
        <v>305</v>
      </c>
      <c r="E4" s="4">
        <v>26.52</v>
      </c>
    </row>
    <row r="5" spans="1:7" ht="15" customHeight="1" x14ac:dyDescent="0.3">
      <c r="A5" s="5" t="s">
        <v>66</v>
      </c>
      <c r="B5" s="6">
        <v>3</v>
      </c>
      <c r="C5" s="7">
        <v>139</v>
      </c>
      <c r="D5" s="7">
        <v>139</v>
      </c>
      <c r="E5" s="7">
        <v>12.08</v>
      </c>
    </row>
    <row r="6" spans="1:7" ht="15" customHeight="1" x14ac:dyDescent="0.3">
      <c r="A6" s="2" t="s">
        <v>48</v>
      </c>
      <c r="B6" s="3">
        <v>6</v>
      </c>
      <c r="C6" s="4">
        <v>283</v>
      </c>
      <c r="D6" s="4">
        <v>283</v>
      </c>
      <c r="E6" s="4">
        <v>24.62</v>
      </c>
    </row>
    <row r="7" spans="1:7" ht="15" customHeight="1" x14ac:dyDescent="0.3">
      <c r="A7" s="5" t="s">
        <v>40</v>
      </c>
      <c r="B7" s="6">
        <v>6</v>
      </c>
      <c r="C7" s="7">
        <v>311</v>
      </c>
      <c r="D7" s="7">
        <v>311</v>
      </c>
      <c r="E7" s="7">
        <v>27.03</v>
      </c>
    </row>
    <row r="8" spans="1:7" ht="15" customHeight="1" x14ac:dyDescent="0.3">
      <c r="A8" s="2" t="s">
        <v>59</v>
      </c>
      <c r="B8" s="3">
        <v>2</v>
      </c>
      <c r="C8" s="4">
        <v>110</v>
      </c>
      <c r="D8" s="4">
        <v>110</v>
      </c>
      <c r="E8" s="4">
        <v>9.57</v>
      </c>
    </row>
    <row r="9" spans="1:7" ht="15" customHeight="1" x14ac:dyDescent="0.3">
      <c r="A9" s="5" t="s">
        <v>31</v>
      </c>
      <c r="B9" s="6">
        <v>7</v>
      </c>
      <c r="C9" s="7">
        <v>333</v>
      </c>
      <c r="D9" s="7">
        <v>333</v>
      </c>
      <c r="E9" s="7">
        <v>28.94</v>
      </c>
    </row>
    <row r="10" spans="1:7" ht="15" customHeight="1" x14ac:dyDescent="0.3">
      <c r="A10" s="2" t="s">
        <v>69</v>
      </c>
      <c r="B10" s="3">
        <v>2</v>
      </c>
      <c r="C10" s="4">
        <v>93</v>
      </c>
      <c r="D10" s="4">
        <v>93</v>
      </c>
      <c r="E10" s="4">
        <v>8.09</v>
      </c>
    </row>
    <row r="11" spans="1:7" ht="15" customHeight="1" x14ac:dyDescent="0.3">
      <c r="A11" s="5" t="s">
        <v>42</v>
      </c>
      <c r="B11" s="6">
        <v>7</v>
      </c>
      <c r="C11" s="7">
        <v>303</v>
      </c>
      <c r="D11" s="7">
        <v>303</v>
      </c>
      <c r="E11" s="7">
        <v>26.36</v>
      </c>
    </row>
    <row r="12" spans="1:7" ht="15" customHeight="1" x14ac:dyDescent="0.3">
      <c r="A12" s="2" t="s">
        <v>73</v>
      </c>
      <c r="B12" s="3">
        <v>2</v>
      </c>
      <c r="C12" s="4">
        <v>93</v>
      </c>
      <c r="D12" s="4">
        <v>93</v>
      </c>
      <c r="E12" s="4">
        <v>8.09</v>
      </c>
    </row>
    <row r="13" spans="1:7" ht="15" customHeight="1" x14ac:dyDescent="0.3">
      <c r="A13" s="5" t="s">
        <v>43</v>
      </c>
      <c r="B13" s="6">
        <v>7</v>
      </c>
      <c r="C13" s="7">
        <v>379</v>
      </c>
      <c r="D13" s="7">
        <v>379</v>
      </c>
      <c r="E13" s="7">
        <v>32.950000000000003</v>
      </c>
    </row>
    <row r="14" spans="1:7" ht="15" customHeight="1" x14ac:dyDescent="0.3">
      <c r="A14" s="2" t="s">
        <v>77</v>
      </c>
      <c r="B14" s="3">
        <v>2</v>
      </c>
      <c r="C14" s="4">
        <v>104</v>
      </c>
      <c r="D14" s="4">
        <v>104</v>
      </c>
      <c r="E14" s="4">
        <v>9.0399999999999991</v>
      </c>
    </row>
    <row r="15" spans="1:7" ht="15" customHeight="1" x14ac:dyDescent="0.3">
      <c r="A15" s="5" t="s">
        <v>54</v>
      </c>
      <c r="B15" s="6">
        <v>5</v>
      </c>
      <c r="C15" s="7">
        <v>263</v>
      </c>
      <c r="D15" s="7">
        <v>263</v>
      </c>
      <c r="E15" s="7">
        <v>22.87</v>
      </c>
    </row>
    <row r="16" spans="1:7" ht="15" customHeight="1" x14ac:dyDescent="0.3">
      <c r="A16" s="2" t="s">
        <v>70</v>
      </c>
      <c r="B16" s="3">
        <v>5</v>
      </c>
      <c r="C16" s="4">
        <v>211</v>
      </c>
      <c r="D16" s="4">
        <v>211</v>
      </c>
      <c r="E16" s="4">
        <v>18.36</v>
      </c>
    </row>
    <row r="17" spans="1:5" x14ac:dyDescent="0.3">
      <c r="A17" s="8" t="s">
        <v>15</v>
      </c>
      <c r="B17" s="9">
        <v>60</v>
      </c>
      <c r="C17" s="10">
        <v>2927</v>
      </c>
      <c r="D17" s="10">
        <v>2927</v>
      </c>
      <c r="E17" s="10">
        <v>254.52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 — All Taxable Orders</vt:lpstr>
      <vt:lpstr>By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sollenberger</cp:lastModifiedBy>
  <dcterms:created xsi:type="dcterms:W3CDTF">2026-04-24T17:47:41Z</dcterms:created>
  <dcterms:modified xsi:type="dcterms:W3CDTF">2026-04-24T18:53:16Z</dcterms:modified>
</cp:coreProperties>
</file>